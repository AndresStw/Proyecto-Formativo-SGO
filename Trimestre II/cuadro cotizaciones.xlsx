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" sheetId="1" r:id="rId4"/>
    <sheet state="visible" name="Movil" sheetId="2" r:id="rId5"/>
    <sheet state="visible" name="Router" sheetId="3" r:id="rId6"/>
    <sheet state="visible" name="Servidores" sheetId="4" r:id="rId7"/>
    <sheet state="visible" name="Servidores (Free tier)" sheetId="5" r:id="rId8"/>
    <sheet state="visible" name="Infraestructura" sheetId="6" r:id="rId9"/>
    <sheet state="visible" name="Sistema Operativo" sheetId="7" r:id="rId10"/>
    <sheet state="visible" name="Suite de Oficina" sheetId="8" r:id="rId11"/>
    <sheet state="visible" name="AntivirusSeguridad" sheetId="9" r:id="rId12"/>
    <sheet state="visible" name="Herramientas de Desarrollo" sheetId="10" r:id="rId13"/>
    <sheet state="visible" name="Cuadro Resumen" sheetId="11" r:id="rId14"/>
  </sheets>
  <definedNames/>
  <calcPr/>
  <extLst>
    <ext uri="GoogleSheetsCustomDataVersion2">
      <go:sheetsCustomData xmlns:go="http://customooxmlschemas.google.com/" r:id="rId15" roundtripDataChecksum="3yqL+H5+d5zqMFTOKMB+HLT13B/eKg5nl3fT2W3+hMQ="/>
    </ext>
  </extLst>
</workbook>
</file>

<file path=xl/sharedStrings.xml><?xml version="1.0" encoding="utf-8"?>
<sst xmlns="http://schemas.openxmlformats.org/spreadsheetml/2006/main" count="349" uniqueCount="228">
  <si>
    <t>CUADRO DE COTIZACIONES</t>
  </si>
  <si>
    <t xml:space="preserve">Cuadro Comparativo de Cotizaciones </t>
  </si>
  <si>
    <t xml:space="preserve">Presupuestos
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</si>
  <si>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</si>
  <si>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</si>
  <si>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</si>
  <si>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</si>
  <si>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</si>
  <si>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</si>
  <si>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</si>
  <si>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</si>
  <si>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Nº 1</t>
  </si>
  <si>
    <t>Alkosto</t>
  </si>
  <si>
    <t>Computador Portátil LENOVO IdeaPad Slim 3 - 15.6" Pulgadas</t>
  </si>
  <si>
    <t xml:space="preserve">Computador Portátil LENOVO IdeaPad Slim 3 - 15.6" Pulgadas - AMD R3 - RAM 16GB - Disco SSD 512GB </t>
  </si>
  <si>
    <t>Contado</t>
  </si>
  <si>
    <t>Incluye Windows 11. Procesador Ryzen 3 de gama básica. Ideal para tareas básicas</t>
  </si>
  <si>
    <t xml:space="preserve">Nº2 </t>
  </si>
  <si>
    <t>K-tronix</t>
  </si>
  <si>
    <t>Computador Portátil LENOVO IdeaPad Slim 3 - 15.6" Pulgadas - Intel Core i3 - RAM 8GB - Disco SSD 512GB - Gris</t>
  </si>
  <si>
    <t>Incluye Windows 11. Procesador Intel Core i3, mejor rendimiento general. Buena relación calidad-precio.</t>
  </si>
  <si>
    <t>Nº 3</t>
  </si>
  <si>
    <t>Falabella</t>
  </si>
  <si>
    <t>portátil lenovo intel core i5-13420h 8gb ram 512gb ssd 15.3" fhd wuxga</t>
  </si>
  <si>
    <t>Portátil Lenovo Ideapad 
Slim 3 | AMD Ryzen 5| 
8GB de RAM | 512GB 
SSD de Almacenamiento 
| Windows 11 | Pantalla 
15.6 pulgadas | IP Slim 3 
| Computador Portátil</t>
  </si>
  <si>
    <t>Incluye Windows 11. Procesador Ryzen 5 de mejor rendimiento. Precio más alto frente a opciones similares.</t>
  </si>
  <si>
    <t xml:space="preserve">Presupuestos (a)
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</si>
  <si>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</si>
  <si>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</si>
  <si>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</si>
  <si>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</si>
  <si>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</si>
  <si>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</si>
  <si>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t>Tipo de cambio</t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</si>
  <si>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</si>
  <si>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</si>
  <si>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Celular REDMI A5 128GB 4G Negro</t>
  </si>
  <si>
    <t>Pantalla grande (~6.7–6.8”)
4 GB RAM
128 GB almacenamiento
Android 15
Batería ~5000 mAh
Procesador Octa-core (~1.8 GHz)</t>
  </si>
  <si>
    <t>Equipo de gama básica, ideal para uso diario (redes, llamadas y apps). Buena batería y almacenamiento, no recomendado para tareas exigentes.</t>
  </si>
  <si>
    <t>Celular REDMI A5 128GB 4G Dorado</t>
  </si>
  <si>
    <t>Rendimiento estable para uso cotidiano. Buena batería y pantalla amplia. Limitado en juegos o aplicaciones pesadas.</t>
  </si>
  <si>
    <t>Celular Xiaomi Redmi A5 128GB 4GB RAM Ampliable a 8GB Dorado</t>
  </si>
  <si>
    <t>4 GB RAM
128 GB almacenamiento
Android 15
Octa-core
Pantalla grande (~6.8”).</t>
  </si>
  <si>
    <t>Alta autonomía (≈5000 mAh o más) y almacenamiento amplio. Adecuado para tareas básicas, con limitaciones en alto rendimiento.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</si>
  <si>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</si>
  <si>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</si>
  <si>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</si>
  <si>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</si>
  <si>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</si>
  <si>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</si>
  <si>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</si>
  <si>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</si>
  <si>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Router TP-LINK WiFi 5 4 Antenas Doble Banda AC750 Mbps</t>
  </si>
  <si>
    <t>300 Mbps (2.4 GHz) + 867 Mbps (5 GHz)
4 antenas
4 puertos Ethernet
WiFi 5</t>
  </si>
  <si>
    <t>Buena relación calidad-precio, adecuado para uso doméstico y cobertura básica.</t>
  </si>
  <si>
    <t>Mercado Libre</t>
  </si>
  <si>
    <t>Router Ac10 V5.0 Wifi 5 Ac1200 Doble Banda, 4 Antenas</t>
  </si>
  <si>
    <t>Velocidades muy similares (≈867 + 300 Mbps)
4 antenas
WiFi 5</t>
  </si>
  <si>
    <t>Mayor estabilidad para múltiples dispositivos, buen rendimiento en red doméstica.</t>
  </si>
  <si>
    <t>router inalambrico banda dual archer c50 tp- link</t>
  </si>
  <si>
    <t>Router WiFi 5 modelo C50, velocidad de hasta 1167 Mbps, conectividad WiFi y Ethernet, 4 antenas de alto rendimiento, 6 puertos, cobertura para el hogar.</t>
  </si>
  <si>
    <t>Mismas características técnicas, pero con precio más alto frente a otras opciones.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</si>
  <si>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</si>
  <si>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</si>
  <si>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</si>
  <si>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</si>
  <si>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</si>
  <si>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</si>
  <si>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</si>
  <si>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</si>
  <si>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Hosting</t>
  </si>
  <si>
    <t>Hosting VPS administrado con IA | Potentes Servidores KVM</t>
  </si>
  <si>
    <t>VPS Linux 4GB RAM SSD</t>
  </si>
  <si>
    <t>Servicio mensual
Agente de IA que protege y optimiza tu sitio
Respaldos semanales gratis</t>
  </si>
  <si>
    <t xml:space="preserve">Nº 2 </t>
  </si>
  <si>
    <t>Colombia Hosting</t>
  </si>
  <si>
    <t>Servidor VPS en Colombia | Servidores Virtuales Privados</t>
  </si>
  <si>
    <t>Servicio mensual
Servidores propios con infraestructura robusta</t>
  </si>
  <si>
    <t>OVHcloud</t>
  </si>
  <si>
    <t>VPS Hosting Colombia - Servidores Privados Virtuales rápidos y baratos | OVHcloud Global</t>
  </si>
  <si>
    <t>VPS Linux SSD NVMe</t>
  </si>
  <si>
    <t>Servicio mensual
Tráfico ilimitado
Rendimiento y escalabilidad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</si>
  <si>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</si>
  <si>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</si>
  <si>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</si>
  <si>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</si>
  <si>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</si>
  <si>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</si>
  <si>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</si>
  <si>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</si>
  <si>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Oracle Cloud</t>
  </si>
  <si>
    <t>Modo Gratuito de Oracle Cloud</t>
  </si>
  <si>
    <t>VPS Linux Free Tier</t>
  </si>
  <si>
    <t>$0</t>
  </si>
  <si>
    <t>--</t>
  </si>
  <si>
    <t>Gratuito</t>
  </si>
  <si>
    <t>Nº 2</t>
  </si>
  <si>
    <t>Google Cloud</t>
  </si>
  <si>
    <t>Free Trial and Free Tier Services and Products | Google Cloud</t>
  </si>
  <si>
    <t>VPS Linux con créditos</t>
  </si>
  <si>
    <t>-</t>
  </si>
  <si>
    <t>AWS</t>
  </si>
  <si>
    <t>Hosting Providers with free tiers or credits - FSCI Wiki</t>
  </si>
  <si>
    <t>VPS (EC2)</t>
  </si>
  <si>
    <t>Prueba 12 meses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</si>
  <si>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</si>
  <si>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</si>
  <si>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</si>
  <si>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</si>
  <si>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</si>
  <si>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</si>
  <si>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</si>
  <si>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</si>
  <si>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Regulador de Voltaje FORZA 1200VA</t>
  </si>
  <si>
    <t>UPS regulador 1200VA, protección eléctrica</t>
  </si>
  <si>
    <t>Incluye garantía de 24 meses
Envio gratis</t>
  </si>
  <si>
    <t>Regulador Automático Voltaje Unitec 1200va, 8 Tomas Protegidas U-1200</t>
  </si>
  <si>
    <t>Incluye garantía de 24 meses
Bajo costo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</si>
  <si>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</si>
  <si>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</si>
  <si>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</si>
  <si>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</si>
  <si>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</si>
  <si>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</si>
  <si>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</si>
  <si>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</si>
  <si>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Microsoft</t>
  </si>
  <si>
    <t>Descargar Windows 11</t>
  </si>
  <si>
    <t>Windows 11 Licencia incluida con laptop</t>
  </si>
  <si>
    <t>---</t>
  </si>
  <si>
    <t>Licencia Gratuita. Viene integrada al dispositivo</t>
  </si>
  <si>
    <t>Canonical</t>
  </si>
  <si>
    <t>Download Ubuntu Desktop</t>
  </si>
  <si>
    <t>Ubuntu Linux. Licencia gratuita</t>
  </si>
  <si>
    <t>Precios y licencias de Windows Server 2025 | Microsoft</t>
  </si>
  <si>
    <t>Windows Server. Licencia pago</t>
  </si>
  <si>
    <t>Protección con seguridad multicapa
Conecta servidores locales y basados en la nube
 posibilidades con escalabilidad mejorada, máquinas virtuales más grandes y particiones de GPU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</si>
  <si>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</si>
  <si>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</si>
  <si>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</si>
  <si>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</si>
  <si>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</si>
  <si>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</si>
  <si>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</si>
  <si>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</si>
  <si>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LibreOffice</t>
  </si>
  <si>
    <t>LibreOffice en español - suite ofimática libre, basada en OpenOffice, compatible con Microsoft</t>
  </si>
  <si>
    <t>LibreOffice. Licencia gratuita</t>
  </si>
  <si>
    <t>Software libre y gratuito
Funciona sin conexión a internet
 No incluye soporte técnico oficial empresarial</t>
  </si>
  <si>
    <t>Compara todos los planes y precios de Microsoft 365 (anteriormente Office 365): Microsoft Store</t>
  </si>
  <si>
    <t>Microsoft 365. Suscripción anual</t>
  </si>
  <si>
    <t>Incluye almacenamiento en la nube (OneDrive)
Necesita conexión a internet para funciones completas.
Incluye soporte técnico y herramientas colaborativas en tiempo real.</t>
  </si>
  <si>
    <t>Google</t>
  </si>
  <si>
    <t>Google Docs.</t>
  </si>
  <si>
    <t>Servicio gratuito con cuenta de Google
Permite colaboración en tiempo real</t>
  </si>
  <si>
    <t>LInk de Cotización
(pagina de producto/servicio del producto)</t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</si>
  <si>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</si>
  <si>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</si>
  <si>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</si>
  <si>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</si>
  <si>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</si>
  <si>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</si>
  <si>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</si>
  <si>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Defender</t>
  </si>
  <si>
    <t>Antivirus integrado en Windows, sin costo adicional.
No requiere instalación adicional.</t>
  </si>
  <si>
    <t>Kaspersky</t>
  </si>
  <si>
    <t>https://latam.kaspersky.com/lp/special-offer?gad_campaignid=21900761898</t>
  </si>
  <si>
    <t>Kaspersky Standard Antivirus</t>
  </si>
  <si>
    <t>Requiere licencia anual.
Incluye protección en tiempo real contra virus, malware y phishing.
Puede requerir conexión a internet</t>
  </si>
  <si>
    <t>ESET</t>
  </si>
  <si>
    <t xml:space="preserve">https://compubit.com.co/producto/eset-nod32-antivirus-1-pc-1-ano/#:~:text=Obten%20y%20compralo%20por%20$127.415,tu%20PC%20seguro%20y%20optimizado.
</t>
  </si>
  <si>
    <t>ESET NOD32</t>
  </si>
  <si>
    <t>Puede requerir conexión a internet
Protección avanzada contra malware.
 Requiere licencia paga anual</t>
  </si>
  <si>
    <r>
      <rPr>
        <rFont val="Trebuchet MS"/>
        <b/>
        <color theme="1"/>
        <sz val="10.0"/>
      </rPr>
      <t>Empresa</t>
    </r>
    <r>
      <rPr>
        <rFont val="Trebuchet MS"/>
        <b val="0"/>
        <i/>
        <color theme="1"/>
        <sz val="8.0"/>
      </rPr>
      <t xml:space="preserve">
(Nombre fiscal de la empresa)</t>
    </r>
  </si>
  <si>
    <r>
      <rPr>
        <rFont val="Trebuchet MS"/>
        <b val="0"/>
        <color theme="1"/>
        <sz val="10.0"/>
      </rPr>
      <t>LInk de Cotización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(pagina de producto/servicio del producto)</t>
    </r>
  </si>
  <si>
    <r>
      <rPr>
        <rFont val="Trebuchet MS"/>
        <b/>
        <color theme="1"/>
        <sz val="10.0"/>
      </rPr>
      <t>Descripción del
bien/ servicio (b)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Características de los bienes/ servicios</t>
    </r>
  </si>
  <si>
    <r>
      <rPr>
        <rFont val="Trebuchet MS"/>
        <b/>
        <color theme="1"/>
        <sz val="10.0"/>
      </rPr>
      <t xml:space="preserve">Importe Unitario
</t>
    </r>
    <r>
      <rPr>
        <rFont val="Trebuchet MS"/>
        <b val="0"/>
        <i/>
        <color theme="1"/>
        <sz val="8.0"/>
      </rPr>
      <t>(moneda nacional)</t>
    </r>
  </si>
  <si>
    <r>
      <rPr>
        <rFont val="Trebuchet MS"/>
        <b/>
        <color theme="1"/>
        <sz val="10.0"/>
        <u/>
      </rPr>
      <t>Importe Total</t>
    </r>
    <r>
      <rPr>
        <rFont val="Trebuchet MS"/>
        <b/>
        <color theme="1"/>
        <sz val="10.0"/>
        <u/>
      </rPr>
      <t xml:space="preserve">
 IVA incluido
</t>
    </r>
    <r>
      <rPr>
        <rFont val="Trebuchet MS"/>
        <b val="0"/>
        <i/>
        <color theme="1"/>
        <sz val="8.0"/>
        <u/>
      </rPr>
      <t>(moneda nacional)</t>
    </r>
  </si>
  <si>
    <r>
      <rPr>
        <rFont val="Arial"/>
        <b/>
        <color theme="1"/>
        <sz val="10.0"/>
      </rPr>
      <t xml:space="preserve">Importe Total
</t>
    </r>
    <r>
      <rPr>
        <rFont val="Arial"/>
        <b val="0"/>
        <i/>
        <color theme="1"/>
        <sz val="8.0"/>
      </rPr>
      <t>(moneda extranjera)</t>
    </r>
  </si>
  <si>
    <r>
      <rPr>
        <rFont val="Trebuchet MS"/>
        <b/>
        <color theme="1"/>
        <sz val="10.0"/>
      </rPr>
      <t xml:space="preserve">Forma de Pago 
</t>
    </r>
    <r>
      <rPr>
        <rFont val="Trebuchet MS"/>
        <b val="0"/>
        <i/>
        <color theme="1"/>
        <sz val="8.0"/>
      </rPr>
      <t>(Contado o Cheque)</t>
    </r>
  </si>
  <si>
    <r>
      <rPr>
        <rFont val="Trebuchet MS"/>
        <b/>
        <color theme="1"/>
        <sz val="10.0"/>
      </rPr>
      <t xml:space="preserve">Observaciones </t>
    </r>
    <r>
      <rPr>
        <rFont val="Trebuchet MS"/>
        <b val="0"/>
        <i/>
        <color theme="1"/>
        <sz val="10.0"/>
      </rPr>
      <t xml:space="preserve">
</t>
    </r>
    <r>
      <rPr>
        <rFont val="Trebuchet MS"/>
        <b val="0"/>
        <i/>
        <color theme="1"/>
        <sz val="8.0"/>
      </rPr>
      <t>(se debe incluir toda aquella característica que no ha sido posible incluir anteriormente)</t>
    </r>
  </si>
  <si>
    <t>Google/ Microsoft</t>
  </si>
  <si>
    <r>
      <rPr>
        <rFont val="Arial"/>
        <color rgb="FF467886"/>
        <sz val="11.0"/>
        <u/>
      </rPr>
      <t>https://code.visualstudio.com/download</t>
    </r>
    <r>
      <rPr>
        <rFont val="Arial"/>
        <color rgb="FF000000"/>
        <sz val="11.0"/>
        <u/>
      </rPr>
      <t xml:space="preserve"> </t>
    </r>
  </si>
  <si>
    <t>Android Studio / VS Code</t>
  </si>
  <si>
    <t>Herramientas gratuitas de desarrollo.
Amplia compatibilidad con múltiples lenguajes y extensiones..
Requieren configuración según el proyecto.</t>
  </si>
  <si>
    <t>JetBrains</t>
  </si>
  <si>
    <r>
      <rPr>
        <rFont val="Arial"/>
        <color rgb="FF467886"/>
        <sz val="11.0"/>
        <u/>
      </rPr>
      <t>Comprar IntelliJ IDEA</t>
    </r>
    <r>
      <rPr>
        <rFont val="Arial"/>
        <color rgb="FF467886"/>
        <sz val="11.0"/>
        <u/>
      </rPr>
      <t xml:space="preserve">         </t>
    </r>
  </si>
  <si>
    <t>IntelliJ IDEA</t>
  </si>
  <si>
    <t>Requiere licencia anual.
Incluye herramientas inteligentes de autocompletado, depuración y gestión de proyectos..
Mayor consumo de recursos, pero ofrece alta productividad</t>
  </si>
  <si>
    <t>Eclipse Foundation</t>
  </si>
  <si>
    <t>Eclipse Downloads | The Eclipse Foundation</t>
  </si>
  <si>
    <t>Eclipse</t>
  </si>
  <si>
    <t>IDE gratuito y de código abierto. Amplia compatibilidad con lenguajes mediante plugins.
Requiere configuración adicional según el tipo de proyecto.
Interfaz menos intuitiva</t>
  </si>
  <si>
    <t>Nº 4</t>
  </si>
  <si>
    <t>Apache Netbeans</t>
  </si>
  <si>
    <t>Apache NetBeans Releases</t>
  </si>
  <si>
    <t>IDE gratuito y de código abierto con soporte integrado para varios lenguajes.
Fácil de usar.
Menor flexibilidad</t>
  </si>
  <si>
    <t>CUADRO DE COTIZACIONES - Resumen</t>
  </si>
  <si>
    <t xml:space="preserve">Cuadro Final de Cotizaciones </t>
  </si>
  <si>
    <t>Cuadro Resumen  - Ficha Tecnica</t>
  </si>
  <si>
    <t xml:space="preserve">Informacion General:    Este documento integra el cuadro resumen y la ficha técnica del proyecto SGO Control, detallando los requerimientos de hardware, software, infraestructura, servidores y talento humano necesarios para su ejecución. </t>
  </si>
  <si>
    <t xml:space="preserve">Nombre del Proyecto:   Sistema de Gestión Operacional  (SGO) </t>
  </si>
  <si>
    <t xml:space="preserve">Fecha:                           17/03/2026 </t>
  </si>
  <si>
    <t>Responsables:              Samuel Clavijo
                                      Kevin Landazuri
                                      David Villanueva
                                      Brandon Rojas</t>
  </si>
  <si>
    <t xml:space="preserve">Objetivo de Analisis:     Determinar el costo total de la infrastuctura requerida </t>
  </si>
  <si>
    <t>Resumen de Categoria</t>
  </si>
  <si>
    <t xml:space="preserve">Categoria </t>
  </si>
  <si>
    <t xml:space="preserve">Descripcion </t>
  </si>
  <si>
    <t>Cantidad</t>
  </si>
  <si>
    <t>Costo Unitario</t>
  </si>
  <si>
    <t>Costo Total</t>
  </si>
  <si>
    <t>Hardware</t>
  </si>
  <si>
    <t>Laptop: Computador Portátil LENOVO IdeaPad Slim 3 - 15.6" Pulgadas - AMD R3 - RAM 16GB</t>
  </si>
  <si>
    <t>Movil:Celular Xiaomi Redmi A5 128GB 4GB RAM Ampliable a 8GB Dorado</t>
  </si>
  <si>
    <t>Router: Router TP-LINK WiFi 5 4 Antenas Doble Banda AC750 Mbps</t>
  </si>
  <si>
    <t>Software</t>
  </si>
  <si>
    <t xml:space="preserve">Sistema Operativo: 
Windows 11 / Linux 
</t>
  </si>
  <si>
    <t xml:space="preserve">Suite de Oficina:
LibreOffice
</t>
  </si>
  <si>
    <t>Antivirus/Seguridad:
Defender</t>
  </si>
  <si>
    <t>Herramientas de Desarrollo:
Android Studio / VS Code</t>
  </si>
  <si>
    <t>Infraestructura</t>
  </si>
  <si>
    <t>UPS: Regulador Automático Voltaje Unitec 1200va, 8 Tomas Protegidas U-1200</t>
  </si>
  <si>
    <t>Servidores</t>
  </si>
  <si>
    <t>AWS:más de 200 servicios integrales de centros de datos globales</t>
  </si>
  <si>
    <t>Recursos Humanos</t>
  </si>
  <si>
    <t xml:space="preserve">1. Analista de requerimientos 
2. Arquitecto de software  
3. Desarrollador Backend 
4. Desarrollador Frontend  
5. Tester / QA  
6. DevOps </t>
  </si>
  <si>
    <t xml:space="preserve"> 318.360
 340.000
 1.200.000
 1.200.000
 318.360
 400.000</t>
  </si>
  <si>
    <t>Total General: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</si>
</sst>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$-240A]\ * #,##0.00_-;\-[$$-240A]\ * #,##0.00_-;_-[$$-240A]\ * &quot;-&quot;??_-;_-@"/>
    <numFmt numFmtId="165" formatCode="_([$$-409]* #,##0.00_);_([$$-409]* \(#,##0.00\);_([$$-409]* &quot;-&quot;??_);_(@_)"/>
    <numFmt numFmtId="166" formatCode="_-[$$-409]* #,##0.00_ ;_-[$$-409]* \-#,##0.00\ ;_-[$$-409]* &quot;-&quot;??_ ;_-@_ "/>
    <numFmt numFmtId="167" formatCode="[$ $]#,##0"/>
  </numFmts>
  <fonts count="34">
    <font>
      <sz val="11.0"/>
      <color theme="1"/>
      <name val="Aptos Narrow"/>
      <scheme val="minor"/>
    </font>
    <font>
      <b/>
      <sz val="12.0"/>
      <color theme="1"/>
      <name val="Arial"/>
    </font>
    <font/>
    <font>
      <b/>
      <sz val="10.0"/>
      <color theme="1"/>
      <name val="Arial"/>
    </font>
    <font>
      <b/>
      <sz val="10.0"/>
      <color theme="1"/>
      <name val="Trebuchet MS"/>
    </font>
    <font>
      <b/>
      <u/>
      <sz val="10.0"/>
      <color theme="1"/>
      <name val="Trebuchet MS"/>
    </font>
    <font>
      <sz val="10.0"/>
      <color rgb="FF231F20"/>
      <name val="Trebuchet MS"/>
    </font>
    <font>
      <u/>
      <sz val="11.0"/>
      <color rgb="FF467886"/>
      <name val="Arial"/>
    </font>
    <font>
      <sz val="11.0"/>
      <color theme="1"/>
      <name val="Arial"/>
    </font>
    <font>
      <sz val="10.0"/>
      <color rgb="FF000000"/>
      <name val="Trebuchet MS"/>
    </font>
    <font>
      <sz val="10.0"/>
      <color theme="1"/>
      <name val="Proxima Nova"/>
    </font>
    <font>
      <u/>
      <sz val="11.0"/>
      <color rgb="FF0000FF"/>
      <name val="Arial"/>
    </font>
    <font>
      <sz val="10.0"/>
      <color rgb="FF000000"/>
      <name val="Arial"/>
    </font>
    <font>
      <sz val="10.0"/>
      <color theme="1"/>
      <name val="Open Sans"/>
    </font>
    <font>
      <sz val="10.0"/>
      <color rgb="FF222222"/>
      <name val="Inherit"/>
    </font>
    <font>
      <sz val="10.0"/>
      <color theme="1"/>
      <name val="Montserrat"/>
    </font>
    <font>
      <sz val="10.0"/>
      <color theme="1"/>
      <name val="Arial"/>
    </font>
    <font>
      <sz val="10.0"/>
      <color theme="1"/>
      <name val="Trebuchet MS"/>
    </font>
    <font>
      <b/>
      <u/>
      <sz val="10.0"/>
      <color theme="1"/>
      <name val="Trebuchet MS"/>
    </font>
    <font>
      <u/>
      <sz val="10.0"/>
      <color rgb="FF000000"/>
      <name val="Trebuchet MS"/>
    </font>
    <font>
      <sz val="10.0"/>
      <color rgb="FF222222"/>
      <name val="Arial"/>
    </font>
    <font>
      <sz val="11.0"/>
      <color theme="1"/>
      <name val="Aptos Narrow"/>
    </font>
    <font>
      <sz val="10.0"/>
      <color rgb="FF3C4B71"/>
      <name val="Aptos Narrow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u/>
      <color rgb="FF467886"/>
      <name val="Arial"/>
    </font>
    <font>
      <u/>
      <color rgb="FF0000FF"/>
      <name val="Arial"/>
    </font>
    <font>
      <sz val="12.0"/>
      <color rgb="FF000000"/>
      <name val="Calibri"/>
    </font>
    <font>
      <u/>
      <sz val="11.0"/>
      <color rgb="FF467886"/>
      <name val="Arial"/>
    </font>
    <font>
      <color rgb="FF1D1D1B"/>
      <name val="Arial"/>
    </font>
    <font>
      <sz val="11.0"/>
      <color rgb="FF467886"/>
      <name val="Arial"/>
    </font>
    <font>
      <u/>
      <sz val="10.0"/>
      <color rgb="FF467886"/>
      <name val="Trebuchet MS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34343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left style="medium">
        <color rgb="FF434343"/>
      </left>
      <bottom style="thin">
        <color rgb="FF000000"/>
      </bottom>
    </border>
    <border>
      <bottom style="thin">
        <color rgb="FF000000"/>
      </bottom>
    </border>
    <border>
      <right style="medium">
        <color rgb="FF434343"/>
      </right>
      <bottom style="thin">
        <color rgb="FF000000"/>
      </bottom>
    </border>
    <border>
      <left style="medium">
        <color rgb="FF434343"/>
      </left>
      <top style="thin">
        <color rgb="FF000000"/>
      </top>
      <bottom style="thin">
        <color rgb="FF000000"/>
      </bottom>
    </border>
    <border>
      <right style="medium">
        <color rgb="FF434343"/>
      </right>
      <top style="thin">
        <color rgb="FF000000"/>
      </top>
      <bottom style="thin">
        <color rgb="FF000000"/>
      </bottom>
    </border>
    <border>
      <left style="medium">
        <color rgb="FF434343"/>
      </left>
      <top style="thin">
        <color rgb="FF000000"/>
      </top>
    </border>
    <border>
      <top style="thin">
        <color rgb="FF000000"/>
      </top>
    </border>
    <border>
      <right style="medium">
        <color rgb="FF434343"/>
      </right>
      <top style="thin">
        <color rgb="FF000000"/>
      </top>
    </border>
    <border>
      <left style="medium">
        <color rgb="FF434343"/>
      </left>
      <right style="thin">
        <color rgb="FF000000"/>
      </right>
      <top style="medium">
        <color rgb="FF434343"/>
      </top>
      <bottom style="thin">
        <color rgb="FF000000"/>
      </bottom>
    </border>
    <border>
      <left style="thin">
        <color rgb="FF000000"/>
      </left>
      <top style="medium">
        <color rgb="FF434343"/>
      </top>
      <bottom style="thin">
        <color rgb="FF000000"/>
      </bottom>
    </border>
    <border>
      <right style="thin">
        <color rgb="FF000000"/>
      </right>
      <top style="medium">
        <color rgb="FF43434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434343"/>
      </top>
      <bottom style="thin">
        <color rgb="FF000000"/>
      </bottom>
    </border>
    <border>
      <left style="thin">
        <color rgb="FF000000"/>
      </left>
      <right style="medium">
        <color rgb="FF434343"/>
      </right>
      <top style="medium">
        <color rgb="FF434343"/>
      </top>
      <bottom style="thin">
        <color rgb="FF000000"/>
      </bottom>
    </border>
    <border>
      <left style="medium">
        <color rgb="FF434343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434343"/>
      </right>
      <top style="thin">
        <color rgb="FF000000"/>
      </top>
      <bottom style="thin">
        <color rgb="FF000000"/>
      </bottom>
    </border>
    <border>
      <left style="medium">
        <color rgb="FF434343"/>
      </left>
      <right style="thin">
        <color rgb="FF000000"/>
      </right>
    </border>
    <border>
      <left style="medium">
        <color rgb="FF434343"/>
      </left>
      <right style="thin">
        <color rgb="FF000000"/>
      </right>
      <bottom style="thin">
        <color rgb="FF000000"/>
      </bottom>
    </border>
    <border>
      <left style="medium">
        <color rgb="FF43434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34343"/>
      </left>
      <right style="thin">
        <color rgb="FF000000"/>
      </right>
      <top style="thin">
        <color rgb="FF000000"/>
      </top>
      <bottom style="medium">
        <color rgb="FF434343"/>
      </bottom>
    </border>
    <border>
      <left style="thin">
        <color rgb="FF000000"/>
      </left>
      <top style="thin">
        <color rgb="FF000000"/>
      </top>
      <bottom style="medium">
        <color rgb="FF434343"/>
      </bottom>
    </border>
    <border>
      <right style="thin">
        <color rgb="FF000000"/>
      </right>
      <top style="thin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34343"/>
      </bottom>
    </border>
    <border>
      <left style="thin">
        <color rgb="FF000000"/>
      </left>
      <right style="medium">
        <color rgb="FF434343"/>
      </right>
      <top style="thin">
        <color rgb="FF000000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0" fontId="9" numFmtId="164" xfId="0" applyAlignment="1" applyBorder="1" applyFont="1" applyNumberFormat="1">
      <alignment horizontal="center" readingOrder="0" shrinkToFit="0" vertical="center" wrapText="1"/>
    </xf>
    <xf borderId="4" fillId="0" fontId="9" numFmtId="164" xfId="0" applyAlignment="1" applyBorder="1" applyFont="1" applyNumberFormat="1">
      <alignment horizontal="center" shrinkToFit="0" vertical="center" wrapText="1"/>
    </xf>
    <xf borderId="4" fillId="0" fontId="9" numFmtId="165" xfId="0" applyAlignment="1" applyBorder="1" applyFont="1" applyNumberFormat="1">
      <alignment horizontal="center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6" fillId="4" fontId="13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ont="1">
      <alignment horizontal="center" readingOrder="0" shrinkToFit="0" vertical="center" wrapText="1"/>
    </xf>
    <xf borderId="4" fillId="4" fontId="15" numFmtId="0" xfId="0" applyAlignment="1" applyBorder="1" applyFont="1">
      <alignment horizontal="center" readingOrder="0" shrinkToFit="0" vertical="center" wrapText="1"/>
    </xf>
    <xf borderId="0" fillId="0" fontId="16" numFmtId="0" xfId="0" applyFont="1"/>
    <xf borderId="0" fillId="0" fontId="17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4" fillId="4" fontId="16" numFmtId="0" xfId="0" applyAlignment="1" applyBorder="1" applyFont="1">
      <alignment horizontal="center" readingOrder="0" shrinkToFit="0" vertical="center" wrapText="1"/>
    </xf>
    <xf borderId="4" fillId="0" fontId="19" numFmtId="166" xfId="0" applyAlignment="1" applyBorder="1" applyFont="1" applyNumberFormat="1">
      <alignment horizontal="center" shrinkToFit="0" vertical="center" wrapText="1"/>
    </xf>
    <xf borderId="4" fillId="4" fontId="20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4" fillId="4" fontId="2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4" fontId="22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24" numFmtId="0" xfId="0" applyAlignment="1" applyBorder="1" applyFont="1">
      <alignment horizontal="right" readingOrder="0" shrinkToFit="0" vertical="center" wrapText="1"/>
    </xf>
    <xf borderId="4" fillId="0" fontId="25" numFmtId="0" xfId="0" applyAlignment="1" applyBorder="1" applyFont="1">
      <alignment horizontal="right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vertical="center"/>
    </xf>
    <xf borderId="4" fillId="0" fontId="27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vertical="center"/>
    </xf>
    <xf borderId="4" fillId="0" fontId="29" numFmtId="0" xfId="0" applyAlignment="1" applyBorder="1" applyFont="1">
      <alignment horizontal="center" readingOrder="0" shrinkToFit="0" vertical="center" wrapText="1"/>
    </xf>
    <xf borderId="0" fillId="4" fontId="30" numFmtId="0" xfId="0" applyAlignment="1" applyFont="1">
      <alignment horizontal="center" readingOrder="0" shrinkToFit="0" vertical="center" wrapText="1"/>
    </xf>
    <xf borderId="4" fillId="0" fontId="9" numFmtId="165" xfId="0" applyAlignment="1" applyBorder="1" applyFont="1" applyNumberForma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7" fillId="5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4" numFmtId="0" xfId="0" applyAlignment="1" applyBorder="1" applyFont="1">
      <alignment readingOrder="0" shrinkToFit="0" vertical="top" wrapText="1"/>
    </xf>
    <xf borderId="14" fillId="0" fontId="2" numFmtId="0" xfId="0" applyBorder="1" applyFont="1"/>
    <xf borderId="15" fillId="0" fontId="2" numFmtId="0" xfId="0" applyBorder="1" applyFont="1"/>
    <xf borderId="16" fillId="0" fontId="24" numFmtId="0" xfId="0" applyAlignment="1" applyBorder="1" applyFont="1">
      <alignment readingOrder="0" vertical="center"/>
    </xf>
    <xf borderId="17" fillId="0" fontId="2" numFmtId="0" xfId="0" applyBorder="1" applyFont="1"/>
    <xf borderId="0" fillId="0" fontId="25" numFmtId="0" xfId="0" applyAlignment="1" applyFont="1">
      <alignment shrinkToFit="0" wrapText="1"/>
    </xf>
    <xf borderId="18" fillId="0" fontId="24" numFmtId="0" xfId="0" applyAlignment="1" applyBorder="1" applyFont="1">
      <alignment readingOrder="0" vertical="center"/>
    </xf>
    <xf borderId="19" fillId="0" fontId="2" numFmtId="0" xfId="0" applyBorder="1" applyFont="1"/>
    <xf borderId="20" fillId="0" fontId="2" numFmtId="0" xfId="0" applyBorder="1" applyFont="1"/>
    <xf borderId="21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3" fillId="0" fontId="2" numFmtId="0" xfId="0" applyBorder="1" applyFont="1"/>
    <xf borderId="24" fillId="0" fontId="33" numFmtId="0" xfId="0" applyAlignment="1" applyBorder="1" applyFont="1">
      <alignment horizontal="center" readingOrder="0" vertical="center"/>
    </xf>
    <xf borderId="25" fillId="0" fontId="33" numFmtId="0" xfId="0" applyAlignment="1" applyBorder="1" applyFont="1">
      <alignment horizontal="center" readingOrder="0" vertical="center"/>
    </xf>
    <xf borderId="26" fillId="0" fontId="33" numFmtId="0" xfId="0" applyAlignment="1" applyBorder="1" applyFont="1">
      <alignment readingOrder="0" vertical="center"/>
    </xf>
    <xf borderId="1" fillId="0" fontId="24" numFmtId="0" xfId="0" applyAlignment="1" applyBorder="1" applyFont="1">
      <alignment readingOrder="0" shrinkToFit="0" wrapText="1"/>
    </xf>
    <xf borderId="4" fillId="0" fontId="24" numFmtId="0" xfId="0" applyAlignment="1" applyBorder="1" applyFont="1">
      <alignment readingOrder="0"/>
    </xf>
    <xf borderId="4" fillId="0" fontId="24" numFmtId="3" xfId="0" applyAlignment="1" applyBorder="1" applyFont="1" applyNumberFormat="1">
      <alignment horizontal="center" readingOrder="0"/>
    </xf>
    <xf borderId="27" fillId="0" fontId="24" numFmtId="167" xfId="0" applyAlignment="1" applyBorder="1" applyFont="1" applyNumberFormat="1">
      <alignment readingOrder="0"/>
    </xf>
    <xf borderId="28" fillId="0" fontId="2" numFmtId="0" xfId="0" applyBorder="1" applyFont="1"/>
    <xf borderId="29" fillId="0" fontId="2" numFmtId="0" xfId="0" applyBorder="1" applyFont="1"/>
    <xf borderId="30" fillId="0" fontId="33" numFmtId="0" xfId="0" applyAlignment="1" applyBorder="1" applyFont="1">
      <alignment readingOrder="0" vertical="center"/>
    </xf>
    <xf borderId="1" fillId="0" fontId="24" numFmtId="0" xfId="0" applyAlignment="1" applyBorder="1" applyFont="1">
      <alignment readingOrder="0"/>
    </xf>
    <xf borderId="4" fillId="0" fontId="25" numFmtId="0" xfId="0" applyAlignment="1" applyBorder="1" applyFont="1">
      <alignment readingOrder="0"/>
    </xf>
    <xf borderId="4" fillId="0" fontId="24" numFmtId="0" xfId="0" applyAlignment="1" applyBorder="1" applyFont="1">
      <alignment horizontal="center" readingOrder="0"/>
    </xf>
    <xf borderId="30" fillId="0" fontId="23" numFmtId="0" xfId="0" applyAlignment="1" applyBorder="1" applyFont="1">
      <alignment vertical="center"/>
    </xf>
    <xf borderId="31" fillId="0" fontId="24" numFmtId="0" xfId="0" applyAlignment="1" applyBorder="1" applyFont="1">
      <alignment readingOrder="0" vertical="center"/>
    </xf>
    <xf borderId="32" fillId="0" fontId="24" numFmtId="0" xfId="0" applyAlignment="1" applyBorder="1" applyFont="1">
      <alignment readingOrder="0"/>
    </xf>
    <xf borderId="33" fillId="0" fontId="2" numFmtId="0" xfId="0" applyBorder="1" applyFont="1"/>
    <xf borderId="34" fillId="0" fontId="24" numFmtId="0" xfId="0" applyAlignment="1" applyBorder="1" applyFont="1">
      <alignment horizontal="center" readingOrder="0" vertical="center"/>
    </xf>
    <xf borderId="34" fillId="0" fontId="24" numFmtId="167" xfId="0" applyAlignment="1" applyBorder="1" applyFont="1" applyNumberFormat="1">
      <alignment horizontal="center" readingOrder="0"/>
    </xf>
    <xf borderId="35" fillId="0" fontId="24" numFmtId="167" xfId="0" applyAlignment="1" applyBorder="1" applyFont="1" applyNumberFormat="1">
      <alignment horizontal="right" readingOrder="0" vertical="center"/>
    </xf>
    <xf borderId="36" fillId="0" fontId="33" numFmtId="0" xfId="0" applyAlignment="1" applyBorder="1" applyFont="1">
      <alignment horizontal="center" readingOrder="0"/>
    </xf>
    <xf borderId="37" fillId="0" fontId="24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kosto.com/computador-portatil-lenovo-ideapad-slim-3-156-pulgadas-amd/p/199273193455?fuente=google&amp;medio=cpc&amp;campaign=AK_COL_MAX_PEF_CPC_AON_COMP_TLP_Computadores-Brand-AON_PAC&amp;keyword=&amp;gad_source=1&amp;gad_campaignid=17335909635&amp;gbraid=0AAAAADlnVbiTwizHlWmCV5uh4dnk_d7yh&amp;gclid=Cj0KCQjwmunNBhDbARIsAOndKpmBsz6982hg-f92SmYwCqBdOKL3g8nTLTmmS_6_sZrU0X8qnpM9fTEaAuhOEALw_wcB" TargetMode="External"/><Relationship Id="rId2" Type="http://schemas.openxmlformats.org/officeDocument/2006/relationships/hyperlink" Target="https://www.ktronix.com/computador-portatil-lenovo-ideapad-slim-3-156-pulgadas/p/198157552937?utm_source=chatgpt.com" TargetMode="External"/><Relationship Id="rId3" Type="http://schemas.openxmlformats.org/officeDocument/2006/relationships/hyperlink" Target="https://www.falabella.com.co/falabella-co/product/144585267/portatil-lenovo-intel-core-i5-13420h-8gb-ram-512gb-ssd-15-3-fhd-wuxga/144585268?utm_source=chatgpt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kosto.com/celular-redmi-a5-128gb-4g-negro/p/6932554425135?utm_source=chatgpt.com" TargetMode="External"/><Relationship Id="rId2" Type="http://schemas.openxmlformats.org/officeDocument/2006/relationships/hyperlink" Target="https://www.ktronix.com/celular-redmi-a5-128gb-4g-negro/p/6932554425135?utm_source=chatgpt.com" TargetMode="External"/><Relationship Id="rId3" Type="http://schemas.openxmlformats.org/officeDocument/2006/relationships/hyperlink" Target="https://www.falabella.com.co/falabella-co/product/147311015/Celular-Xiaomi-Redmi-A5-64GB-3GB-RAM-Ampliable-a-6GB-Dorado/147311016?utm_source=chatgpt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kosto.com/router-tp-link-wifi-5-4-antenas-doble-banda-ac750-mbps/p/840030700453?utm_source=chatgpt.com" TargetMode="External"/><Relationship Id="rId2" Type="http://schemas.openxmlformats.org/officeDocument/2006/relationships/hyperlink" Target="https://www.mercadolibre.com.co/tenda-router-ac10-v50-wifi-5-ac1200-doble-banda-4-antenas/p/MCO2044643466?matt_tool=19390127&amp;pdp_filters=item_id%3AMCO1793646067&amp;from=gshop&amp;utm_source=chatgpt.com" TargetMode="External"/><Relationship Id="rId3" Type="http://schemas.openxmlformats.org/officeDocument/2006/relationships/hyperlink" Target="https://www.falabella.com.co/falabella-co/product/132902415/ROUTER-INALAMBRICO-BANDA-DUAL-ARCHER-C50-TP-LINK/132902416?utm_source=chatgpt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stinger.com/co/vps-servidor-web" TargetMode="External"/><Relationship Id="rId2" Type="http://schemas.openxmlformats.org/officeDocument/2006/relationships/hyperlink" Target="https://www.planetahosting.com.co/servidores-vps" TargetMode="External"/><Relationship Id="rId3" Type="http://schemas.openxmlformats.org/officeDocument/2006/relationships/hyperlink" Target="https://www.ovhcloud.com/es/vps/vps-colombia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acle.com/latam/cloud/free/" TargetMode="External"/><Relationship Id="rId2" Type="http://schemas.openxmlformats.org/officeDocument/2006/relationships/hyperlink" Target="https://cloud.google.com/free?" TargetMode="External"/><Relationship Id="rId3" Type="http://schemas.openxmlformats.org/officeDocument/2006/relationships/hyperlink" Target="https://wiki.fsci.in/Hosting_Providers_with_free_tiers_or_credits?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kosto.com/regulador-voltaje-forza-1200va/p/798302109377" TargetMode="External"/><Relationship Id="rId2" Type="http://schemas.openxmlformats.org/officeDocument/2006/relationships/hyperlink" Target="https://www.ktronix.com/regulador-voltaje-forza-1200va/p/798302109377" TargetMode="External"/><Relationship Id="rId3" Type="http://schemas.openxmlformats.org/officeDocument/2006/relationships/hyperlink" Target="https://www.falabella.com.co/falabella-co/product/117650893/Regulador-Automatico-Voltaje-Unitec-1200va,-8-Tomas-Protegidas-U-1200/117650894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es-es/software-download/windows11" TargetMode="External"/><Relationship Id="rId2" Type="http://schemas.openxmlformats.org/officeDocument/2006/relationships/hyperlink" Target="https://ubuntu.com/download/desktop" TargetMode="External"/><Relationship Id="rId3" Type="http://schemas.openxmlformats.org/officeDocument/2006/relationships/hyperlink" Target="https://www.microsoft.com/es-es/windows-server/pricing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s.libreoffice.org/descarga/libreoffice/" TargetMode="External"/><Relationship Id="rId2" Type="http://schemas.openxmlformats.org/officeDocument/2006/relationships/hyperlink" Target="https://www.microsoft.com/es-co/microsoft-365/buy/compare-all-microsoft-365-products?culture=es-co&amp;country=co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latam.kaspersky.com/lp/special-offer?gad_campaignid=21900761898" TargetMode="External"/><Relationship Id="rId2" Type="http://schemas.openxmlformats.org/officeDocument/2006/relationships/hyperlink" Target="https://compubit.com.co/producto/eset-nod32-antivirus-1-pc-1-ano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visualstudio.com/download" TargetMode="External"/><Relationship Id="rId2" Type="http://schemas.openxmlformats.org/officeDocument/2006/relationships/hyperlink" Target="https://www.jetbrains.com/es-es/idea/buy/?section=commercial&amp;billing=yearly" TargetMode="External"/><Relationship Id="rId3" Type="http://schemas.openxmlformats.org/officeDocument/2006/relationships/hyperlink" Target="https://www.eclipse.org/downloads/" TargetMode="External"/><Relationship Id="rId4" Type="http://schemas.openxmlformats.org/officeDocument/2006/relationships/hyperlink" Target="https://netbeans.apache.org/front/main/download/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5" width="21.88"/>
    <col customWidth="1" min="6" max="8" width="20.13"/>
    <col customWidth="1" min="9" max="10" width="21.88"/>
    <col customWidth="1" min="11" max="26" width="10.63"/>
  </cols>
  <sheetData>
    <row r="1" ht="14.25" customHeight="1">
      <c r="B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4"/>
    </row>
    <row r="5" ht="14.25" customHeight="1"/>
    <row r="6" ht="14.25" customHeight="1">
      <c r="B6" s="5" t="s">
        <v>2</v>
      </c>
      <c r="C6" s="6" t="s">
        <v>3</v>
      </c>
      <c r="D6" s="7" t="s">
        <v>4</v>
      </c>
      <c r="E6" s="6" t="s">
        <v>5</v>
      </c>
      <c r="F6" s="6" t="s">
        <v>6</v>
      </c>
      <c r="G6" s="8" t="s">
        <v>7</v>
      </c>
      <c r="H6" s="9" t="s">
        <v>8</v>
      </c>
      <c r="I6" s="6" t="s">
        <v>9</v>
      </c>
      <c r="J6" s="6" t="s">
        <v>10</v>
      </c>
    </row>
    <row r="7" ht="14.25" customHeight="1">
      <c r="B7" s="10" t="s">
        <v>11</v>
      </c>
      <c r="C7" s="11" t="s">
        <v>12</v>
      </c>
      <c r="D7" s="12" t="s">
        <v>13</v>
      </c>
      <c r="E7" s="13" t="s">
        <v>14</v>
      </c>
      <c r="F7" s="14">
        <v>2184034.0</v>
      </c>
      <c r="G7" s="15">
        <f t="shared" ref="G7:G9" si="1">+F7*19%+F7</f>
        <v>2599000.46</v>
      </c>
      <c r="H7" s="16">
        <f t="shared" ref="H7:H9" si="2">+(G7)/3665</f>
        <v>709.1406439</v>
      </c>
      <c r="I7" s="11" t="s">
        <v>15</v>
      </c>
      <c r="J7" s="17" t="s">
        <v>16</v>
      </c>
    </row>
    <row r="8" ht="14.25" customHeight="1">
      <c r="B8" s="10" t="s">
        <v>17</v>
      </c>
      <c r="C8" s="11" t="s">
        <v>18</v>
      </c>
      <c r="D8" s="18" t="s">
        <v>13</v>
      </c>
      <c r="E8" s="19" t="s">
        <v>19</v>
      </c>
      <c r="F8" s="14">
        <v>2091597.0</v>
      </c>
      <c r="G8" s="15">
        <f t="shared" si="1"/>
        <v>2489000.43</v>
      </c>
      <c r="H8" s="16">
        <f t="shared" si="2"/>
        <v>679.1269932</v>
      </c>
      <c r="I8" s="11" t="s">
        <v>15</v>
      </c>
      <c r="J8" s="20" t="s">
        <v>20</v>
      </c>
    </row>
    <row r="9" ht="14.25" customHeight="1">
      <c r="B9" s="10" t="s">
        <v>21</v>
      </c>
      <c r="C9" s="21" t="s">
        <v>22</v>
      </c>
      <c r="D9" s="18" t="s">
        <v>23</v>
      </c>
      <c r="E9" s="22" t="s">
        <v>24</v>
      </c>
      <c r="F9" s="14">
        <v>3233445.0</v>
      </c>
      <c r="G9" s="15">
        <f t="shared" si="1"/>
        <v>3847799.55</v>
      </c>
      <c r="H9" s="16">
        <f t="shared" si="2"/>
        <v>1049.877094</v>
      </c>
      <c r="I9" s="11" t="s">
        <v>15</v>
      </c>
      <c r="J9" s="23" t="s">
        <v>25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4:J4"/>
    <mergeCell ref="B1:J1"/>
  </mergeCells>
  <hyperlinks>
    <hyperlink r:id="rId1" ref="D7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27</v>
      </c>
      <c r="D6" s="29" t="s">
        <v>28</v>
      </c>
      <c r="E6" s="28" t="s">
        <v>29</v>
      </c>
      <c r="F6" s="28" t="s">
        <v>30</v>
      </c>
      <c r="G6" s="30" t="s">
        <v>31</v>
      </c>
      <c r="H6" s="31" t="s">
        <v>32</v>
      </c>
      <c r="I6" s="28" t="s">
        <v>33</v>
      </c>
      <c r="J6" s="28" t="s">
        <v>34</v>
      </c>
      <c r="K6" s="28" t="s">
        <v>35</v>
      </c>
    </row>
    <row r="7" ht="14.25" customHeight="1">
      <c r="B7" s="10" t="s">
        <v>11</v>
      </c>
      <c r="C7" s="11" t="s">
        <v>12</v>
      </c>
      <c r="D7" s="12" t="s">
        <v>36</v>
      </c>
      <c r="E7" s="32" t="s">
        <v>37</v>
      </c>
      <c r="F7" s="14">
        <v>419370.0</v>
      </c>
      <c r="G7" s="15">
        <f t="shared" ref="G7:G9" si="1">+F7*19%+F7</f>
        <v>499050.3</v>
      </c>
      <c r="H7" s="16">
        <f t="shared" ref="H7:H9" si="2">+(G7)/3665</f>
        <v>136.1665211</v>
      </c>
      <c r="I7" s="33">
        <f t="shared" ref="I7:I9" si="3">+H7*3665</f>
        <v>499050.3</v>
      </c>
      <c r="J7" s="11" t="s">
        <v>15</v>
      </c>
      <c r="K7" s="17" t="s">
        <v>38</v>
      </c>
    </row>
    <row r="8" ht="14.25" customHeight="1">
      <c r="B8" s="10" t="s">
        <v>17</v>
      </c>
      <c r="C8" s="11" t="s">
        <v>18</v>
      </c>
      <c r="D8" s="18" t="s">
        <v>39</v>
      </c>
      <c r="E8" s="32" t="s">
        <v>37</v>
      </c>
      <c r="F8" s="14">
        <v>419370.0</v>
      </c>
      <c r="G8" s="15">
        <f t="shared" si="1"/>
        <v>499050.3</v>
      </c>
      <c r="H8" s="16">
        <f t="shared" si="2"/>
        <v>136.1665211</v>
      </c>
      <c r="I8" s="33">
        <f t="shared" si="3"/>
        <v>499050.3</v>
      </c>
      <c r="J8" s="11" t="s">
        <v>15</v>
      </c>
      <c r="K8" s="17" t="s">
        <v>40</v>
      </c>
    </row>
    <row r="9" ht="14.25" customHeight="1">
      <c r="B9" s="10" t="s">
        <v>21</v>
      </c>
      <c r="C9" s="21" t="s">
        <v>22</v>
      </c>
      <c r="D9" s="12" t="s">
        <v>41</v>
      </c>
      <c r="E9" s="34" t="s">
        <v>42</v>
      </c>
      <c r="F9" s="14">
        <v>352933.0</v>
      </c>
      <c r="G9" s="15">
        <f t="shared" si="1"/>
        <v>419990.27</v>
      </c>
      <c r="H9" s="16">
        <f t="shared" si="2"/>
        <v>114.5948895</v>
      </c>
      <c r="I9" s="33">
        <f t="shared" si="3"/>
        <v>419990.27</v>
      </c>
      <c r="J9" s="11" t="s">
        <v>15</v>
      </c>
      <c r="K9" s="35" t="s">
        <v>43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7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44</v>
      </c>
      <c r="D6" s="29" t="s">
        <v>45</v>
      </c>
      <c r="E6" s="28" t="s">
        <v>46</v>
      </c>
      <c r="F6" s="28" t="s">
        <v>47</v>
      </c>
      <c r="G6" s="30" t="s">
        <v>48</v>
      </c>
      <c r="H6" s="31" t="s">
        <v>49</v>
      </c>
      <c r="I6" s="28" t="s">
        <v>33</v>
      </c>
      <c r="J6" s="28" t="s">
        <v>50</v>
      </c>
      <c r="K6" s="28" t="s">
        <v>51</v>
      </c>
    </row>
    <row r="7" ht="14.25" customHeight="1">
      <c r="B7" s="10" t="s">
        <v>11</v>
      </c>
      <c r="C7" s="11" t="s">
        <v>12</v>
      </c>
      <c r="D7" s="12" t="s">
        <v>52</v>
      </c>
      <c r="E7" s="13" t="s">
        <v>53</v>
      </c>
      <c r="F7" s="14">
        <v>96555.0</v>
      </c>
      <c r="G7" s="15">
        <f t="shared" ref="G7:G9" si="1">+F7*19%+F7</f>
        <v>114900.45</v>
      </c>
      <c r="H7" s="16">
        <f t="shared" ref="H7:H9" si="2">+(G7)/3665</f>
        <v>31.3507367</v>
      </c>
      <c r="I7" s="33">
        <f>+H7* 3665</f>
        <v>114900.45</v>
      </c>
      <c r="J7" s="11" t="s">
        <v>15</v>
      </c>
      <c r="K7" s="17" t="s">
        <v>54</v>
      </c>
    </row>
    <row r="8" ht="14.25" customHeight="1">
      <c r="B8" s="10" t="s">
        <v>17</v>
      </c>
      <c r="C8" s="11" t="s">
        <v>55</v>
      </c>
      <c r="D8" s="18" t="s">
        <v>56</v>
      </c>
      <c r="E8" s="19" t="s">
        <v>57</v>
      </c>
      <c r="F8" s="14">
        <v>110467.0</v>
      </c>
      <c r="G8" s="15">
        <f t="shared" si="1"/>
        <v>131455.73</v>
      </c>
      <c r="H8" s="16">
        <f t="shared" si="2"/>
        <v>35.8678663</v>
      </c>
      <c r="I8" s="33">
        <f t="shared" ref="I8:I9" si="3">+H8*3665</f>
        <v>131455.73</v>
      </c>
      <c r="J8" s="11" t="s">
        <v>15</v>
      </c>
      <c r="K8" s="20" t="s">
        <v>58</v>
      </c>
    </row>
    <row r="9" ht="14.25" customHeight="1">
      <c r="B9" s="10" t="s">
        <v>21</v>
      </c>
      <c r="C9" s="21" t="s">
        <v>22</v>
      </c>
      <c r="D9" s="18" t="s">
        <v>59</v>
      </c>
      <c r="E9" s="34" t="s">
        <v>60</v>
      </c>
      <c r="F9" s="14">
        <v>109069.0</v>
      </c>
      <c r="G9" s="15">
        <f t="shared" si="1"/>
        <v>129792.11</v>
      </c>
      <c r="H9" s="16">
        <f t="shared" si="2"/>
        <v>35.41394543</v>
      </c>
      <c r="I9" s="33">
        <f t="shared" si="3"/>
        <v>129792.11</v>
      </c>
      <c r="J9" s="11" t="s">
        <v>15</v>
      </c>
      <c r="K9" s="23" t="s">
        <v>61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7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62</v>
      </c>
      <c r="D6" s="29" t="s">
        <v>63</v>
      </c>
      <c r="E6" s="28" t="s">
        <v>64</v>
      </c>
      <c r="F6" s="29" t="s">
        <v>65</v>
      </c>
      <c r="G6" s="30" t="s">
        <v>66</v>
      </c>
      <c r="H6" s="31" t="s">
        <v>67</v>
      </c>
      <c r="I6" s="28" t="s">
        <v>33</v>
      </c>
      <c r="J6" s="28" t="s">
        <v>68</v>
      </c>
      <c r="K6" s="28" t="s">
        <v>69</v>
      </c>
    </row>
    <row r="7" ht="14.25" customHeight="1">
      <c r="B7" s="10" t="s">
        <v>11</v>
      </c>
      <c r="C7" s="11" t="s">
        <v>70</v>
      </c>
      <c r="D7" s="18" t="s">
        <v>71</v>
      </c>
      <c r="E7" s="36" t="s">
        <v>72</v>
      </c>
      <c r="F7" s="14">
        <v>17563.0</v>
      </c>
      <c r="G7" s="15">
        <f t="shared" ref="G7:G9" si="1">+F7*19%+F7</f>
        <v>20899.97</v>
      </c>
      <c r="H7" s="16">
        <f t="shared" ref="H7:H9" si="2">+(G7)/3665</f>
        <v>5.702583902</v>
      </c>
      <c r="I7" s="33">
        <f t="shared" ref="I7:I9" si="3">+H7*3665</f>
        <v>20899.97</v>
      </c>
      <c r="J7" s="11" t="s">
        <v>15</v>
      </c>
      <c r="K7" s="17" t="s">
        <v>73</v>
      </c>
    </row>
    <row r="8" ht="14.25" customHeight="1">
      <c r="B8" s="37" t="s">
        <v>74</v>
      </c>
      <c r="C8" s="11" t="s">
        <v>75</v>
      </c>
      <c r="D8" s="18" t="s">
        <v>76</v>
      </c>
      <c r="E8" s="38" t="s">
        <v>72</v>
      </c>
      <c r="F8" s="14">
        <v>301681.0</v>
      </c>
      <c r="G8" s="15">
        <f t="shared" si="1"/>
        <v>359000.39</v>
      </c>
      <c r="H8" s="16">
        <f t="shared" si="2"/>
        <v>97.95372169</v>
      </c>
      <c r="I8" s="33">
        <f t="shared" si="3"/>
        <v>359000.39</v>
      </c>
      <c r="J8" s="11" t="s">
        <v>15</v>
      </c>
      <c r="K8" s="17" t="s">
        <v>77</v>
      </c>
    </row>
    <row r="9" ht="78.75" customHeight="1">
      <c r="B9" s="10" t="s">
        <v>21</v>
      </c>
      <c r="C9" s="21" t="s">
        <v>78</v>
      </c>
      <c r="D9" s="12" t="s">
        <v>79</v>
      </c>
      <c r="E9" s="22" t="s">
        <v>80</v>
      </c>
      <c r="F9" s="14">
        <v>20947.0</v>
      </c>
      <c r="G9" s="15">
        <f t="shared" si="1"/>
        <v>24926.93</v>
      </c>
      <c r="H9" s="16">
        <f t="shared" si="2"/>
        <v>6.801345157</v>
      </c>
      <c r="I9" s="33">
        <f t="shared" si="3"/>
        <v>24926.93</v>
      </c>
      <c r="J9" s="11" t="s">
        <v>15</v>
      </c>
      <c r="K9" s="17" t="s">
        <v>81</v>
      </c>
    </row>
    <row r="10" ht="14.25" customHeight="1">
      <c r="F10" s="26"/>
      <c r="G10" s="26"/>
      <c r="H10" s="26"/>
      <c r="I10" s="26"/>
      <c r="J10" s="26"/>
    </row>
    <row r="11" ht="14.25" customHeight="1"/>
    <row r="12" ht="14.25" customHeight="1">
      <c r="F12" s="39"/>
      <c r="G12" s="39"/>
      <c r="H12" s="39"/>
      <c r="I12" s="39"/>
    </row>
    <row r="13" ht="14.25" customHeight="1"/>
    <row r="14" ht="14.25" customHeight="1"/>
    <row r="15" ht="14.25" customHeight="1">
      <c r="H15" s="4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">
    <mergeCell ref="E1:H1"/>
    <mergeCell ref="B4:K4"/>
  </mergeCells>
  <hyperlinks>
    <hyperlink r:id="rId1" ref="D7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>
      <c r="B6" s="27" t="s">
        <v>26</v>
      </c>
      <c r="C6" s="28" t="s">
        <v>82</v>
      </c>
      <c r="D6" s="29" t="s">
        <v>83</v>
      </c>
      <c r="E6" s="28" t="s">
        <v>84</v>
      </c>
      <c r="F6" s="29" t="s">
        <v>85</v>
      </c>
      <c r="G6" s="30" t="s">
        <v>86</v>
      </c>
      <c r="H6" s="31" t="s">
        <v>87</v>
      </c>
      <c r="I6" s="28" t="s">
        <v>33</v>
      </c>
      <c r="J6" s="28" t="s">
        <v>88</v>
      </c>
      <c r="K6" s="28" t="s">
        <v>89</v>
      </c>
    </row>
    <row r="7" ht="46.5" customHeight="1">
      <c r="B7" s="37" t="s">
        <v>11</v>
      </c>
      <c r="C7" s="41" t="s">
        <v>90</v>
      </c>
      <c r="D7" s="42" t="s">
        <v>91</v>
      </c>
      <c r="E7" s="43" t="s">
        <v>92</v>
      </c>
      <c r="F7" s="44" t="s">
        <v>93</v>
      </c>
      <c r="G7" s="45" t="s">
        <v>93</v>
      </c>
      <c r="H7" s="44" t="s">
        <v>93</v>
      </c>
      <c r="I7" s="44" t="s">
        <v>93</v>
      </c>
      <c r="J7" s="46" t="s">
        <v>94</v>
      </c>
      <c r="K7" s="47" t="s">
        <v>95</v>
      </c>
    </row>
    <row r="8" ht="46.5" customHeight="1">
      <c r="B8" s="37" t="s">
        <v>96</v>
      </c>
      <c r="C8" s="41" t="s">
        <v>97</v>
      </c>
      <c r="D8" s="48" t="s">
        <v>98</v>
      </c>
      <c r="E8" s="41" t="s">
        <v>99</v>
      </c>
      <c r="F8" s="44" t="s">
        <v>93</v>
      </c>
      <c r="G8" s="45" t="s">
        <v>93</v>
      </c>
      <c r="H8" s="44" t="s">
        <v>93</v>
      </c>
      <c r="I8" s="44" t="s">
        <v>93</v>
      </c>
      <c r="J8" s="43" t="s">
        <v>100</v>
      </c>
      <c r="K8" s="47" t="s">
        <v>95</v>
      </c>
    </row>
    <row r="9" ht="46.5" customHeight="1">
      <c r="B9" s="37" t="s">
        <v>21</v>
      </c>
      <c r="C9" s="43" t="s">
        <v>101</v>
      </c>
      <c r="D9" s="48" t="s">
        <v>102</v>
      </c>
      <c r="E9" s="43" t="s">
        <v>103</v>
      </c>
      <c r="F9" s="44" t="s">
        <v>93</v>
      </c>
      <c r="G9" s="44" t="s">
        <v>93</v>
      </c>
      <c r="H9" s="44" t="s">
        <v>93</v>
      </c>
      <c r="I9" s="44" t="s">
        <v>93</v>
      </c>
      <c r="J9" s="43" t="s">
        <v>100</v>
      </c>
      <c r="K9" s="47" t="s">
        <v>104</v>
      </c>
    </row>
    <row r="10" ht="14.25" customHeight="1">
      <c r="F10" s="26"/>
      <c r="G10" s="26"/>
      <c r="H10" s="26"/>
      <c r="I10" s="26"/>
      <c r="J10" s="26"/>
    </row>
    <row r="11" ht="14.25" customHeight="1"/>
    <row r="12" ht="14.25" customHeight="1">
      <c r="F12" s="39"/>
      <c r="G12" s="39"/>
      <c r="H12" s="39"/>
      <c r="I12" s="39"/>
    </row>
    <row r="13" ht="14.25" customHeight="1"/>
    <row r="14" ht="14.25" customHeight="1"/>
    <row r="15" ht="14.25" customHeight="1">
      <c r="H15" s="4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">
    <mergeCell ref="E1:H1"/>
    <mergeCell ref="B4:K4"/>
  </mergeCells>
  <hyperlinks>
    <hyperlink r:id="rId1" ref="D7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105</v>
      </c>
      <c r="D6" s="29" t="s">
        <v>106</v>
      </c>
      <c r="E6" s="28" t="s">
        <v>107</v>
      </c>
      <c r="F6" s="28" t="s">
        <v>108</v>
      </c>
      <c r="G6" s="30" t="s">
        <v>109</v>
      </c>
      <c r="H6" s="31" t="s">
        <v>110</v>
      </c>
      <c r="I6" s="28" t="s">
        <v>33</v>
      </c>
      <c r="J6" s="28" t="s">
        <v>111</v>
      </c>
      <c r="K6" s="28" t="s">
        <v>112</v>
      </c>
    </row>
    <row r="7" ht="14.25" customHeight="1">
      <c r="B7" s="10" t="s">
        <v>11</v>
      </c>
      <c r="C7" s="11" t="s">
        <v>12</v>
      </c>
      <c r="D7" s="18" t="s">
        <v>113</v>
      </c>
      <c r="E7" s="36" t="s">
        <v>114</v>
      </c>
      <c r="F7" s="14">
        <v>251261.0</v>
      </c>
      <c r="G7" s="15">
        <f t="shared" ref="G7:G9" si="1">+F7*19%+F7</f>
        <v>299000.59</v>
      </c>
      <c r="H7" s="16">
        <f t="shared" ref="H7:H9" si="2">+(G7)/3665</f>
        <v>81.5826985</v>
      </c>
      <c r="I7" s="33">
        <f t="shared" ref="I7:I9" si="3">+H7*3665</f>
        <v>299000.59</v>
      </c>
      <c r="J7" s="11" t="s">
        <v>15</v>
      </c>
      <c r="K7" s="17" t="s">
        <v>115</v>
      </c>
    </row>
    <row r="8" ht="14.25" customHeight="1">
      <c r="B8" s="10" t="s">
        <v>17</v>
      </c>
      <c r="C8" s="11" t="s">
        <v>18</v>
      </c>
      <c r="D8" s="18" t="s">
        <v>113</v>
      </c>
      <c r="E8" s="38" t="s">
        <v>114</v>
      </c>
      <c r="F8" s="14">
        <v>252101.0</v>
      </c>
      <c r="G8" s="15">
        <f t="shared" si="1"/>
        <v>300000.19</v>
      </c>
      <c r="H8" s="16">
        <f t="shared" si="2"/>
        <v>81.85544065</v>
      </c>
      <c r="I8" s="33">
        <f t="shared" si="3"/>
        <v>300000.19</v>
      </c>
      <c r="J8" s="11" t="s">
        <v>15</v>
      </c>
      <c r="K8" s="17" t="s">
        <v>115</v>
      </c>
    </row>
    <row r="9" ht="14.25" customHeight="1">
      <c r="B9" s="10" t="s">
        <v>21</v>
      </c>
      <c r="C9" s="21" t="s">
        <v>22</v>
      </c>
      <c r="D9" s="12" t="s">
        <v>116</v>
      </c>
      <c r="E9" s="22" t="s">
        <v>114</v>
      </c>
      <c r="F9" s="14">
        <v>100756.0</v>
      </c>
      <c r="G9" s="15">
        <f t="shared" si="1"/>
        <v>119899.64</v>
      </c>
      <c r="H9" s="16">
        <f t="shared" si="2"/>
        <v>32.71477217</v>
      </c>
      <c r="I9" s="33">
        <f t="shared" si="3"/>
        <v>119899.64</v>
      </c>
      <c r="J9" s="11" t="s">
        <v>15</v>
      </c>
      <c r="K9" s="17" t="s">
        <v>117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7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118</v>
      </c>
      <c r="D6" s="29" t="s">
        <v>119</v>
      </c>
      <c r="E6" s="28" t="s">
        <v>120</v>
      </c>
      <c r="F6" s="28" t="s">
        <v>121</v>
      </c>
      <c r="G6" s="30" t="s">
        <v>122</v>
      </c>
      <c r="H6" s="31" t="s">
        <v>123</v>
      </c>
      <c r="I6" s="28" t="s">
        <v>33</v>
      </c>
      <c r="J6" s="28" t="s">
        <v>124</v>
      </c>
      <c r="K6" s="28" t="s">
        <v>125</v>
      </c>
    </row>
    <row r="7" ht="14.25" customHeight="1">
      <c r="B7" s="10" t="s">
        <v>11</v>
      </c>
      <c r="C7" s="21" t="s">
        <v>126</v>
      </c>
      <c r="D7" s="18" t="s">
        <v>127</v>
      </c>
      <c r="E7" s="36" t="s">
        <v>128</v>
      </c>
      <c r="F7" s="14">
        <v>0.0</v>
      </c>
      <c r="G7" s="15">
        <f t="shared" ref="G7:G9" si="1">+F7*19%+F7</f>
        <v>0</v>
      </c>
      <c r="H7" s="16">
        <f t="shared" ref="H7:H8" si="2">+(F7+G7)/3665</f>
        <v>0</v>
      </c>
      <c r="I7" s="33">
        <f t="shared" ref="I7:I9" si="3">+H7*3665</f>
        <v>0</v>
      </c>
      <c r="J7" s="11" t="s">
        <v>129</v>
      </c>
      <c r="K7" s="17" t="s">
        <v>130</v>
      </c>
    </row>
    <row r="8" ht="14.25" customHeight="1">
      <c r="B8" s="10" t="s">
        <v>17</v>
      </c>
      <c r="C8" s="21" t="s">
        <v>131</v>
      </c>
      <c r="D8" s="18" t="s">
        <v>132</v>
      </c>
      <c r="E8" s="38" t="s">
        <v>133</v>
      </c>
      <c r="F8" s="14">
        <v>0.0</v>
      </c>
      <c r="G8" s="15">
        <f t="shared" si="1"/>
        <v>0</v>
      </c>
      <c r="H8" s="16">
        <f t="shared" si="2"/>
        <v>0</v>
      </c>
      <c r="I8" s="33">
        <f t="shared" si="3"/>
        <v>0</v>
      </c>
      <c r="J8" s="11" t="s">
        <v>129</v>
      </c>
      <c r="K8" s="17" t="s">
        <v>130</v>
      </c>
    </row>
    <row r="9" ht="14.25" customHeight="1">
      <c r="B9" s="10" t="s">
        <v>21</v>
      </c>
      <c r="C9" s="21" t="s">
        <v>126</v>
      </c>
      <c r="D9" s="18" t="s">
        <v>134</v>
      </c>
      <c r="E9" s="22" t="s">
        <v>135</v>
      </c>
      <c r="F9" s="14">
        <v>368908.0</v>
      </c>
      <c r="G9" s="15">
        <f t="shared" si="1"/>
        <v>439000.52</v>
      </c>
      <c r="H9" s="16">
        <f>+(G9)/3665</f>
        <v>119.7818608</v>
      </c>
      <c r="I9" s="33">
        <f t="shared" si="3"/>
        <v>439000.52</v>
      </c>
      <c r="J9" s="11" t="s">
        <v>15</v>
      </c>
      <c r="K9" s="23" t="s">
        <v>136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7"/>
    <hyperlink r:id="rId2" ref="D8"/>
    <hyperlink r:id="rId3" location="Compareeditions" ref="D9"/>
  </hyperlinks>
  <printOptions/>
  <pageMargins bottom="0.75" footer="0.0" header="0.0" left="0.7" right="0.7" top="0.75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137</v>
      </c>
      <c r="D6" s="29" t="s">
        <v>138</v>
      </c>
      <c r="E6" s="28" t="s">
        <v>139</v>
      </c>
      <c r="F6" s="28" t="s">
        <v>140</v>
      </c>
      <c r="G6" s="30" t="s">
        <v>141</v>
      </c>
      <c r="H6" s="31" t="s">
        <v>142</v>
      </c>
      <c r="I6" s="28" t="s">
        <v>33</v>
      </c>
      <c r="J6" s="28" t="s">
        <v>143</v>
      </c>
      <c r="K6" s="28" t="s">
        <v>144</v>
      </c>
    </row>
    <row r="7" ht="14.25" customHeight="1">
      <c r="B7" s="10" t="s">
        <v>11</v>
      </c>
      <c r="C7" s="21" t="s">
        <v>145</v>
      </c>
      <c r="D7" s="18" t="s">
        <v>146</v>
      </c>
      <c r="E7" s="36" t="s">
        <v>147</v>
      </c>
      <c r="F7" s="14">
        <v>0.0</v>
      </c>
      <c r="G7" s="15">
        <f t="shared" ref="G7:G9" si="1">+F7*19%+F7</f>
        <v>0</v>
      </c>
      <c r="H7" s="16">
        <f>+(F7+G7)/3665</f>
        <v>0</v>
      </c>
      <c r="I7" s="33">
        <f t="shared" ref="I7:I9" si="2">+H7*3665</f>
        <v>0</v>
      </c>
      <c r="J7" s="11" t="s">
        <v>129</v>
      </c>
      <c r="K7" s="23" t="s">
        <v>148</v>
      </c>
    </row>
    <row r="8" ht="14.25" customHeight="1">
      <c r="B8" s="10" t="s">
        <v>17</v>
      </c>
      <c r="C8" s="11" t="s">
        <v>126</v>
      </c>
      <c r="D8" s="18" t="s">
        <v>149</v>
      </c>
      <c r="E8" s="38" t="s">
        <v>150</v>
      </c>
      <c r="F8" s="14">
        <v>310923.0</v>
      </c>
      <c r="G8" s="15">
        <f t="shared" si="1"/>
        <v>369998.37</v>
      </c>
      <c r="H8" s="16">
        <f>+(G8)/3665</f>
        <v>100.9545348</v>
      </c>
      <c r="I8" s="33">
        <f t="shared" si="2"/>
        <v>369998.37</v>
      </c>
      <c r="J8" s="11" t="s">
        <v>15</v>
      </c>
      <c r="K8" s="23" t="s">
        <v>151</v>
      </c>
    </row>
    <row r="9" ht="14.25" customHeight="1">
      <c r="B9" s="10" t="s">
        <v>21</v>
      </c>
      <c r="C9" s="49" t="s">
        <v>152</v>
      </c>
      <c r="D9" s="50" t="s">
        <v>100</v>
      </c>
      <c r="E9" s="34" t="s">
        <v>153</v>
      </c>
      <c r="F9" s="14">
        <v>0.0</v>
      </c>
      <c r="G9" s="15">
        <f t="shared" si="1"/>
        <v>0</v>
      </c>
      <c r="H9" s="16">
        <f>+(F9+G9)/3665</f>
        <v>0</v>
      </c>
      <c r="I9" s="33">
        <f t="shared" si="2"/>
        <v>0</v>
      </c>
      <c r="J9" s="11" t="s">
        <v>129</v>
      </c>
      <c r="K9" s="23" t="s">
        <v>154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7"/>
    <hyperlink r:id="rId2" ref="D8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9" t="s">
        <v>155</v>
      </c>
      <c r="D6" s="29" t="s">
        <v>156</v>
      </c>
      <c r="E6" s="28" t="s">
        <v>157</v>
      </c>
      <c r="F6" s="28" t="s">
        <v>158</v>
      </c>
      <c r="G6" s="30" t="s">
        <v>159</v>
      </c>
      <c r="H6" s="31" t="s">
        <v>160</v>
      </c>
      <c r="I6" s="28" t="s">
        <v>33</v>
      </c>
      <c r="J6" s="28" t="s">
        <v>161</v>
      </c>
      <c r="K6" s="28" t="s">
        <v>162</v>
      </c>
    </row>
    <row r="7" ht="14.25" customHeight="1">
      <c r="B7" s="10" t="s">
        <v>11</v>
      </c>
      <c r="C7" s="21" t="s">
        <v>126</v>
      </c>
      <c r="D7" s="50" t="s">
        <v>100</v>
      </c>
      <c r="E7" s="36" t="s">
        <v>163</v>
      </c>
      <c r="F7" s="14">
        <v>0.0</v>
      </c>
      <c r="G7" s="15">
        <f t="shared" ref="G7:G9" si="1">+F7*19%+F7</f>
        <v>0</v>
      </c>
      <c r="H7" s="16">
        <f>+(F7+G7)/3665</f>
        <v>0</v>
      </c>
      <c r="I7" s="33">
        <f t="shared" ref="I7:I9" si="2">+H7*3665</f>
        <v>0</v>
      </c>
      <c r="J7" s="11" t="s">
        <v>129</v>
      </c>
      <c r="K7" s="17" t="s">
        <v>164</v>
      </c>
    </row>
    <row r="8" ht="14.25" customHeight="1">
      <c r="B8" s="10" t="s">
        <v>17</v>
      </c>
      <c r="C8" s="11" t="s">
        <v>165</v>
      </c>
      <c r="D8" s="12" t="s">
        <v>166</v>
      </c>
      <c r="E8" s="51" t="s">
        <v>167</v>
      </c>
      <c r="F8" s="14">
        <v>99950.0</v>
      </c>
      <c r="G8" s="15">
        <f t="shared" si="1"/>
        <v>118940.5</v>
      </c>
      <c r="H8" s="52">
        <f t="shared" ref="H8:H9" si="3">+(G8)/3665</f>
        <v>32.45306958</v>
      </c>
      <c r="I8" s="33">
        <f t="shared" si="2"/>
        <v>118940.5</v>
      </c>
      <c r="J8" s="11" t="s">
        <v>15</v>
      </c>
      <c r="K8" s="23" t="s">
        <v>168</v>
      </c>
    </row>
    <row r="9" ht="98.25" customHeight="1">
      <c r="B9" s="10" t="s">
        <v>21</v>
      </c>
      <c r="C9" s="21" t="s">
        <v>169</v>
      </c>
      <c r="D9" s="53" t="s">
        <v>170</v>
      </c>
      <c r="E9" s="22" t="s">
        <v>171</v>
      </c>
      <c r="F9" s="14">
        <v>243613.0</v>
      </c>
      <c r="G9" s="15">
        <f t="shared" si="1"/>
        <v>289899.47</v>
      </c>
      <c r="H9" s="52">
        <f t="shared" si="3"/>
        <v>79.09944611</v>
      </c>
      <c r="I9" s="33">
        <f t="shared" si="2"/>
        <v>289899.47</v>
      </c>
      <c r="J9" s="11" t="s">
        <v>15</v>
      </c>
      <c r="K9" s="23" t="s">
        <v>172</v>
      </c>
    </row>
    <row r="10" ht="14.25" customHeight="1">
      <c r="B10" s="24"/>
      <c r="C10" s="25"/>
      <c r="D10" s="25"/>
      <c r="E10" s="25"/>
      <c r="F10" s="25"/>
      <c r="G10" s="25"/>
      <c r="H10" s="25"/>
      <c r="I10" s="25"/>
      <c r="J10" s="25"/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8"/>
    <hyperlink r:id="rId2" location=":~:text=Obten%20y%20compralo%20por%20$127.415,tu%20PC%20seguro%20y%20optimizado." ref="D9"/>
  </hyperlinks>
  <printOptions/>
  <pageMargins bottom="0.75" footer="0.0" header="0.0" left="0.7" right="0.7" top="0.75"/>
  <pageSetup orientation="landscape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11" width="21.25"/>
    <col customWidth="1" min="12" max="26" width="10.63"/>
  </cols>
  <sheetData>
    <row r="1" ht="14.25" customHeight="1">
      <c r="E1" s="1" t="s">
        <v>0</v>
      </c>
    </row>
    <row r="2" ht="14.25" customHeight="1"/>
    <row r="3" ht="14.25" customHeight="1"/>
    <row r="4" ht="14.25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4"/>
    </row>
    <row r="5" ht="14.25" customHeight="1"/>
    <row r="6" ht="14.25" customHeight="1">
      <c r="B6" s="27" t="s">
        <v>26</v>
      </c>
      <c r="C6" s="28" t="s">
        <v>173</v>
      </c>
      <c r="D6" s="29" t="s">
        <v>174</v>
      </c>
      <c r="E6" s="28" t="s">
        <v>175</v>
      </c>
      <c r="F6" s="28" t="s">
        <v>176</v>
      </c>
      <c r="G6" s="30" t="s">
        <v>177</v>
      </c>
      <c r="H6" s="31" t="s">
        <v>178</v>
      </c>
      <c r="I6" s="28" t="s">
        <v>33</v>
      </c>
      <c r="J6" s="28" t="s">
        <v>179</v>
      </c>
      <c r="K6" s="28" t="s">
        <v>180</v>
      </c>
    </row>
    <row r="7" ht="119.25" customHeight="1">
      <c r="B7" s="10" t="s">
        <v>11</v>
      </c>
      <c r="C7" s="21" t="s">
        <v>181</v>
      </c>
      <c r="D7" s="12" t="s">
        <v>182</v>
      </c>
      <c r="E7" s="36" t="s">
        <v>183</v>
      </c>
      <c r="F7" s="14">
        <v>0.0</v>
      </c>
      <c r="G7" s="15">
        <f t="shared" ref="G7:G10" si="1">+F7*19%+F7</f>
        <v>0</v>
      </c>
      <c r="H7" s="16">
        <f>+(F7+G7)/3665</f>
        <v>0</v>
      </c>
      <c r="I7" s="33">
        <f t="shared" ref="I7:I10" si="2">+H7*3665</f>
        <v>0</v>
      </c>
      <c r="J7" s="11" t="s">
        <v>129</v>
      </c>
      <c r="K7" s="23" t="s">
        <v>184</v>
      </c>
    </row>
    <row r="8" ht="119.25" customHeight="1">
      <c r="B8" s="37" t="s">
        <v>74</v>
      </c>
      <c r="C8" s="11" t="s">
        <v>185</v>
      </c>
      <c r="D8" s="12" t="s">
        <v>186</v>
      </c>
      <c r="E8" s="38" t="s">
        <v>187</v>
      </c>
      <c r="F8" s="14">
        <v>2230322.0</v>
      </c>
      <c r="G8" s="15">
        <f t="shared" si="1"/>
        <v>2654083.18</v>
      </c>
      <c r="H8" s="16">
        <f>+(G8)/3665</f>
        <v>724.1700355</v>
      </c>
      <c r="I8" s="33">
        <f t="shared" si="2"/>
        <v>2654083.18</v>
      </c>
      <c r="J8" s="11" t="s">
        <v>15</v>
      </c>
      <c r="K8" s="23" t="s">
        <v>188</v>
      </c>
    </row>
    <row r="9" ht="109.5" customHeight="1">
      <c r="B9" s="10" t="s">
        <v>21</v>
      </c>
      <c r="C9" s="21" t="s">
        <v>189</v>
      </c>
      <c r="D9" s="18" t="s">
        <v>190</v>
      </c>
      <c r="E9" s="22" t="s">
        <v>191</v>
      </c>
      <c r="F9" s="14">
        <v>0.0</v>
      </c>
      <c r="G9" s="15">
        <f t="shared" si="1"/>
        <v>0</v>
      </c>
      <c r="H9" s="16">
        <f t="shared" ref="H9:H10" si="3">+(F9+G9)/3665</f>
        <v>0</v>
      </c>
      <c r="I9" s="33">
        <f t="shared" si="2"/>
        <v>0</v>
      </c>
      <c r="J9" s="11" t="s">
        <v>129</v>
      </c>
      <c r="K9" s="23" t="s">
        <v>192</v>
      </c>
    </row>
    <row r="10" ht="98.25" customHeight="1">
      <c r="B10" s="37" t="s">
        <v>193</v>
      </c>
      <c r="C10" s="54" t="s">
        <v>194</v>
      </c>
      <c r="D10" s="55" t="s">
        <v>195</v>
      </c>
      <c r="E10" s="46" t="s">
        <v>194</v>
      </c>
      <c r="F10" s="14">
        <v>0.0</v>
      </c>
      <c r="G10" s="15">
        <f t="shared" si="1"/>
        <v>0</v>
      </c>
      <c r="H10" s="16">
        <f t="shared" si="3"/>
        <v>0</v>
      </c>
      <c r="I10" s="33">
        <f t="shared" si="2"/>
        <v>0</v>
      </c>
      <c r="J10" s="11" t="s">
        <v>129</v>
      </c>
      <c r="K10" s="23" t="s">
        <v>196</v>
      </c>
    </row>
    <row r="11" ht="14.25" customHeight="1"/>
    <row r="12" ht="14.25" customHeight="1"/>
    <row r="13" ht="14.25" customHeight="1"/>
    <row r="14" ht="14.25" customHeight="1">
      <c r="B14" s="26"/>
      <c r="C14" s="26"/>
      <c r="D14" s="26"/>
      <c r="E14" s="26"/>
      <c r="F14" s="26"/>
      <c r="G14" s="26"/>
      <c r="H14" s="26"/>
      <c r="I14" s="26"/>
      <c r="J14" s="2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B4:K4"/>
  </mergeCells>
  <hyperlinks>
    <hyperlink r:id="rId1" ref="D7"/>
    <hyperlink r:id="rId2" ref="D8"/>
    <hyperlink r:id="rId3" ref="D9"/>
    <hyperlink r:id="rId4" ref="D10"/>
  </hyperlinks>
  <printOptions/>
  <pageMargins bottom="0.75" footer="0.0" header="0.0" left="0.7" right="0.7" top="0.75"/>
  <pageSetup orientation="landscape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5" max="7" width="17.63"/>
  </cols>
  <sheetData>
    <row r="1">
      <c r="B1" s="56" t="s">
        <v>197</v>
      </c>
      <c r="H1" s="1"/>
    </row>
    <row r="3">
      <c r="B3" s="57" t="s">
        <v>198</v>
      </c>
      <c r="C3" s="3"/>
      <c r="D3" s="3"/>
      <c r="E3" s="3"/>
      <c r="F3" s="3"/>
      <c r="G3" s="3"/>
      <c r="H3" s="58"/>
      <c r="I3" s="58"/>
      <c r="J3" s="58"/>
      <c r="K3" s="58"/>
    </row>
    <row r="6">
      <c r="B6" s="59" t="s">
        <v>199</v>
      </c>
      <c r="C6" s="60"/>
      <c r="D6" s="60"/>
      <c r="E6" s="60"/>
      <c r="F6" s="60"/>
      <c r="G6" s="61"/>
    </row>
    <row r="7">
      <c r="B7" s="62"/>
      <c r="C7" s="63"/>
      <c r="D7" s="63"/>
      <c r="E7" s="63"/>
      <c r="F7" s="63"/>
      <c r="G7" s="64"/>
    </row>
    <row r="8" ht="44.25" customHeight="1">
      <c r="B8" s="65" t="s">
        <v>200</v>
      </c>
      <c r="C8" s="66"/>
      <c r="D8" s="66"/>
      <c r="E8" s="66"/>
      <c r="F8" s="66"/>
      <c r="G8" s="67"/>
    </row>
    <row r="9" ht="24.0" customHeight="1">
      <c r="B9" s="68" t="s">
        <v>201</v>
      </c>
      <c r="C9" s="3"/>
      <c r="D9" s="3"/>
      <c r="E9" s="3"/>
      <c r="F9" s="3"/>
      <c r="G9" s="69"/>
    </row>
    <row r="10" ht="24.0" customHeight="1">
      <c r="B10" s="68" t="s">
        <v>202</v>
      </c>
      <c r="C10" s="3"/>
      <c r="D10" s="3"/>
      <c r="E10" s="3"/>
      <c r="F10" s="3"/>
      <c r="G10" s="69"/>
    </row>
    <row r="11" ht="60.75" customHeight="1">
      <c r="B11" s="68" t="s">
        <v>203</v>
      </c>
      <c r="C11" s="3"/>
      <c r="D11" s="3"/>
      <c r="E11" s="3"/>
      <c r="F11" s="3"/>
      <c r="G11" s="69"/>
      <c r="H11" s="70"/>
    </row>
    <row r="12" ht="27.0" customHeight="1">
      <c r="B12" s="71" t="s">
        <v>204</v>
      </c>
      <c r="C12" s="72"/>
      <c r="D12" s="72"/>
      <c r="E12" s="72"/>
      <c r="F12" s="72"/>
      <c r="G12" s="73"/>
    </row>
    <row r="13">
      <c r="B13" s="59" t="s">
        <v>205</v>
      </c>
      <c r="C13" s="60"/>
      <c r="D13" s="60"/>
      <c r="E13" s="60"/>
      <c r="F13" s="60"/>
      <c r="G13" s="61"/>
    </row>
    <row r="14">
      <c r="B14" s="62"/>
      <c r="C14" s="63"/>
      <c r="D14" s="63"/>
      <c r="E14" s="63"/>
      <c r="F14" s="63"/>
      <c r="G14" s="64"/>
    </row>
    <row r="15" ht="27.0" customHeight="1">
      <c r="B15" s="74" t="s">
        <v>206</v>
      </c>
      <c r="C15" s="75" t="s">
        <v>207</v>
      </c>
      <c r="D15" s="76"/>
      <c r="E15" s="77" t="s">
        <v>208</v>
      </c>
      <c r="F15" s="77" t="s">
        <v>209</v>
      </c>
      <c r="G15" s="78" t="s">
        <v>210</v>
      </c>
    </row>
    <row r="16" ht="27.75" customHeight="1">
      <c r="B16" s="79" t="s">
        <v>211</v>
      </c>
      <c r="C16" s="80" t="s">
        <v>212</v>
      </c>
      <c r="D16" s="4"/>
      <c r="E16" s="81">
        <v>1.0</v>
      </c>
      <c r="F16" s="82">
        <v>2489000.0</v>
      </c>
      <c r="G16" s="83">
        <f t="shared" ref="G16:G24" si="1">+E16*F16</f>
        <v>2489000</v>
      </c>
    </row>
    <row r="17" ht="29.25" customHeight="1">
      <c r="B17" s="84"/>
      <c r="C17" s="80" t="s">
        <v>213</v>
      </c>
      <c r="D17" s="4"/>
      <c r="E17" s="81">
        <v>2.0</v>
      </c>
      <c r="F17" s="82">
        <v>419990.0</v>
      </c>
      <c r="G17" s="83">
        <f t="shared" si="1"/>
        <v>839980</v>
      </c>
    </row>
    <row r="18" ht="29.25" customHeight="1">
      <c r="B18" s="85"/>
      <c r="C18" s="80" t="s">
        <v>214</v>
      </c>
      <c r="D18" s="4"/>
      <c r="E18" s="81">
        <v>1.0</v>
      </c>
      <c r="F18" s="82">
        <v>114900.0</v>
      </c>
      <c r="G18" s="83">
        <f t="shared" si="1"/>
        <v>114900</v>
      </c>
    </row>
    <row r="19" ht="29.25" customHeight="1">
      <c r="B19" s="86" t="s">
        <v>215</v>
      </c>
      <c r="C19" s="87" t="s">
        <v>216</v>
      </c>
      <c r="D19" s="4"/>
      <c r="E19" s="88">
        <v>1.0</v>
      </c>
      <c r="F19" s="89">
        <v>0.0</v>
      </c>
      <c r="G19" s="83">
        <f t="shared" si="1"/>
        <v>0</v>
      </c>
    </row>
    <row r="20" ht="29.25" customHeight="1">
      <c r="B20" s="90"/>
      <c r="C20" s="87" t="s">
        <v>217</v>
      </c>
      <c r="D20" s="4"/>
      <c r="E20" s="81"/>
      <c r="F20" s="89">
        <v>0.0</v>
      </c>
      <c r="G20" s="83">
        <f t="shared" si="1"/>
        <v>0</v>
      </c>
    </row>
    <row r="21" ht="29.25" customHeight="1">
      <c r="B21" s="90"/>
      <c r="C21" s="80" t="s">
        <v>218</v>
      </c>
      <c r="D21" s="4"/>
      <c r="E21" s="81">
        <v>1.0</v>
      </c>
      <c r="F21" s="89">
        <v>0.0</v>
      </c>
      <c r="G21" s="83">
        <f t="shared" si="1"/>
        <v>0</v>
      </c>
    </row>
    <row r="22" ht="29.25" customHeight="1">
      <c r="B22" s="90"/>
      <c r="C22" s="87" t="s">
        <v>219</v>
      </c>
      <c r="D22" s="4"/>
      <c r="E22" s="81"/>
      <c r="F22" s="89">
        <v>0.0</v>
      </c>
      <c r="G22" s="83">
        <f t="shared" si="1"/>
        <v>0</v>
      </c>
    </row>
    <row r="23" ht="29.25" customHeight="1">
      <c r="B23" s="86" t="s">
        <v>220</v>
      </c>
      <c r="C23" s="80" t="s">
        <v>221</v>
      </c>
      <c r="D23" s="4"/>
      <c r="E23" s="81">
        <v>1.0</v>
      </c>
      <c r="F23" s="82">
        <v>119899.0</v>
      </c>
      <c r="G23" s="83">
        <f t="shared" si="1"/>
        <v>119899</v>
      </c>
    </row>
    <row r="24" ht="42.75" customHeight="1">
      <c r="B24" s="86" t="s">
        <v>222</v>
      </c>
      <c r="C24" s="80" t="s">
        <v>223</v>
      </c>
      <c r="D24" s="4"/>
      <c r="E24" s="81">
        <v>1.0</v>
      </c>
      <c r="F24" s="89">
        <v>0.0</v>
      </c>
      <c r="G24" s="83">
        <f t="shared" si="1"/>
        <v>0</v>
      </c>
    </row>
    <row r="25">
      <c r="B25" s="91" t="s">
        <v>224</v>
      </c>
      <c r="C25" s="92" t="s">
        <v>225</v>
      </c>
      <c r="D25" s="93"/>
      <c r="E25" s="94" t="s">
        <v>100</v>
      </c>
      <c r="F25" s="95" t="s">
        <v>226</v>
      </c>
      <c r="G25" s="96">
        <v>3776720.0</v>
      </c>
    </row>
    <row r="26">
      <c r="F26" s="97" t="s">
        <v>227</v>
      </c>
      <c r="G26" s="98">
        <f>SUM(G15:G25)</f>
        <v>7340499</v>
      </c>
    </row>
  </sheetData>
  <mergeCells count="24">
    <mergeCell ref="B1:G1"/>
    <mergeCell ref="B3:G3"/>
    <mergeCell ref="B6:G7"/>
    <mergeCell ref="B8:G8"/>
    <mergeCell ref="B9:G9"/>
    <mergeCell ref="B10:G10"/>
    <mergeCell ref="B11:G11"/>
    <mergeCell ref="B12:G12"/>
    <mergeCell ref="B13:G14"/>
    <mergeCell ref="C15:D15"/>
    <mergeCell ref="B16:B18"/>
    <mergeCell ref="C16:D16"/>
    <mergeCell ref="C17:D17"/>
    <mergeCell ref="C18:D18"/>
    <mergeCell ref="C26:D26"/>
    <mergeCell ref="C27:D27"/>
    <mergeCell ref="C28:D28"/>
    <mergeCell ref="C19:D19"/>
    <mergeCell ref="C20:D20"/>
    <mergeCell ref="C21:D21"/>
    <mergeCell ref="C22:D22"/>
    <mergeCell ref="C23:D23"/>
    <mergeCell ref="C24:D24"/>
    <mergeCell ref="C25:D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2025-11-21T12:14:51Z</dcterms:created>
  <dc:creator>Patricia  Ojeda</dc:creator>
</cp:coreProperties>
</file>